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32268F27-8847-42BF-A890-EE2600448F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definedNames>
    <definedName name="Aporte">Planilha1!$D$3:$E$3</definedName>
    <definedName name="patrimonio">Planilha1!$C$6:$E$6</definedName>
    <definedName name="rendimento">Planilha1!$C$4:$C$4</definedName>
    <definedName name="salario">Planilha1!$C$3:$C$3</definedName>
    <definedName name="Salário">Planilha1!$C$3:$C$3</definedName>
    <definedName name="sugestao_de_investimento">Planilha1!$C$5:$C$5</definedName>
    <definedName name="Taxa_Mensal">Planilha1!$D$5:$E$5</definedName>
    <definedName name="Tempo_Anos">Planilha1!$D$4:$E$4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11" i="1"/>
  <c r="C12" i="1"/>
  <c r="C16" i="1"/>
  <c r="D16" i="1" s="1"/>
  <c r="C17" i="1"/>
  <c r="D17" i="1" s="1"/>
  <c r="C18" i="1"/>
  <c r="D18" i="1" s="1"/>
  <c r="C15" i="1"/>
  <c r="D15" i="1" s="1"/>
</calcChain>
</file>

<file path=xl/sharedStrings.xml><?xml version="1.0" encoding="utf-8"?>
<sst xmlns="http://schemas.openxmlformats.org/spreadsheetml/2006/main" count="12" uniqueCount="12">
  <si>
    <t>CONFIGURAÇÕES</t>
  </si>
  <si>
    <t>Salário</t>
  </si>
  <si>
    <t>Rendimento Carteira</t>
  </si>
  <si>
    <t>Sugestão de Investimento</t>
  </si>
  <si>
    <t>INVESTIMENTO MENSAL</t>
  </si>
  <si>
    <t>Quantidade</t>
  </si>
  <si>
    <t>Tempo(Anos)</t>
  </si>
  <si>
    <t xml:space="preserve">Taxa </t>
  </si>
  <si>
    <t>Patrimônio</t>
  </si>
  <si>
    <t>Dividendos</t>
  </si>
  <si>
    <t>CENÁRIOS (Anos)</t>
  </si>
  <si>
    <t>DIVIDENDOS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</si>
</sst>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&quot;R$&quot;\ #,##0.00"/>
    <numFmt numFmtId="165" formatCode="0.000%"/>
    <numFmt numFmtId="166" formatCode="&quot;R$&quot;\ #,##0.000;[Red]\-&quot;R$&quot;\ #,##0.000"/>
  </numFmts>
  <fonts count="4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1"/>
      </bottom>
      <diagonal/>
    </border>
    <border>
      <left style="thin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/>
      <bottom style="thin">
        <color theme="2" tint="-0.249977111117893"/>
      </bottom>
      <diagonal/>
    </border>
    <border>
      <left style="thin">
        <color rgb="FF000000"/>
      </left>
      <right style="thin">
        <color theme="2" tint="-0.249977111117893"/>
      </right>
      <top style="thin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rgb="FF000000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rgb="FF000000"/>
      </right>
      <top style="thin">
        <color rgb="FF000000"/>
      </top>
      <bottom style="thin">
        <color theme="2" tint="-0.249977111117893"/>
      </bottom>
      <diagonal/>
    </border>
    <border>
      <left style="thin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 style="thin">
        <color theme="2" tint="-0.249977111117893"/>
      </right>
      <top style="thin">
        <color theme="2" tint="-0.249977111117893"/>
      </top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rgb="FF000000"/>
      </bottom>
      <diagonal/>
    </border>
    <border>
      <left style="thin">
        <color theme="2" tint="-0.249977111117893"/>
      </left>
      <right style="thin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rgb="FF000000"/>
      </right>
      <top style="thin">
        <color theme="2" tint="-0.249977111117893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theme="2" tint="-0.249977111117893"/>
      </right>
      <top style="thin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rgb="FF000000"/>
      </right>
      <top style="thin">
        <color theme="1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3" xfId="0" applyFont="1" applyFill="1" applyBorder="1"/>
    <xf numFmtId="0" fontId="0" fillId="3" borderId="4" xfId="0" applyFill="1" applyBorder="1"/>
    <xf numFmtId="0" fontId="0" fillId="4" borderId="7" xfId="0" applyFill="1" applyBorder="1"/>
    <xf numFmtId="164" fontId="0" fillId="4" borderId="8" xfId="0" applyNumberFormat="1" applyFill="1" applyBorder="1" applyAlignment="1">
      <alignment horizontal="center"/>
    </xf>
    <xf numFmtId="0" fontId="0" fillId="3" borderId="9" xfId="0" applyFill="1" applyBorder="1"/>
    <xf numFmtId="164" fontId="0" fillId="3" borderId="10" xfId="0" applyNumberFormat="1" applyFill="1" applyBorder="1" applyAlignment="1">
      <alignment horizontal="center"/>
    </xf>
    <xf numFmtId="8" fontId="0" fillId="5" borderId="5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8" fontId="0" fillId="5" borderId="12" xfId="0" applyNumberFormat="1" applyFill="1" applyBorder="1" applyAlignment="1">
      <alignment horizontal="center"/>
    </xf>
    <xf numFmtId="8" fontId="0" fillId="5" borderId="13" xfId="0" applyNumberFormat="1" applyFill="1" applyBorder="1"/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8" fontId="0" fillId="5" borderId="16" xfId="0" applyNumberFormat="1" applyFill="1" applyBorder="1" applyAlignment="1">
      <alignment horizontal="center"/>
    </xf>
    <xf numFmtId="8" fontId="0" fillId="5" borderId="17" xfId="0" applyNumberFormat="1" applyFill="1" applyBorder="1"/>
    <xf numFmtId="8" fontId="0" fillId="5" borderId="18" xfId="0" applyNumberFormat="1" applyFill="1" applyBorder="1"/>
    <xf numFmtId="10" fontId="0" fillId="3" borderId="6" xfId="0" applyNumberFormat="1" applyFill="1" applyBorder="1" applyAlignment="1">
      <alignment horizontal="center"/>
    </xf>
    <xf numFmtId="0" fontId="0" fillId="3" borderId="23" xfId="0" applyFill="1" applyBorder="1"/>
    <xf numFmtId="164" fontId="0" fillId="3" borderId="24" xfId="0" applyNumberFormat="1" applyFill="1" applyBorder="1" applyAlignment="1">
      <alignment horizontal="center"/>
    </xf>
    <xf numFmtId="0" fontId="0" fillId="3" borderId="14" xfId="0" applyFill="1" applyBorder="1"/>
    <xf numFmtId="0" fontId="0" fillId="3" borderId="17" xfId="0" applyNumberFormat="1" applyFill="1" applyBorder="1" applyAlignment="1">
      <alignment horizontal="center"/>
    </xf>
    <xf numFmtId="165" fontId="0" fillId="3" borderId="17" xfId="0" applyNumberFormat="1" applyFill="1" applyBorder="1" applyAlignment="1">
      <alignment horizontal="center"/>
    </xf>
    <xf numFmtId="0" fontId="0" fillId="4" borderId="14" xfId="0" applyFill="1" applyBorder="1"/>
    <xf numFmtId="8" fontId="0" fillId="4" borderId="17" xfId="0" applyNumberFormat="1" applyFill="1" applyBorder="1" applyAlignment="1">
      <alignment horizontal="center"/>
    </xf>
    <xf numFmtId="0" fontId="0" fillId="4" borderId="15" xfId="0" applyFill="1" applyBorder="1"/>
    <xf numFmtId="166" fontId="0" fillId="4" borderId="18" xfId="0" applyNumberFormat="1" applyFill="1" applyBorder="1" applyAlignment="1">
      <alignment horizontal="center"/>
    </xf>
    <xf numFmtId="0" fontId="3" fillId="2" borderId="20" xfId="0" applyFont="1" applyFill="1" applyBorder="1" applyAlignment="1">
      <alignment horizontal="center" wrapText="1"/>
    </xf>
    <xf numFmtId="0" fontId="3" fillId="2" borderId="2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tabSelected="1" workbookViewId="0">
      <selection activeCell="DV18" sqref="DV18"/>
    </sheetView>
  </sheetViews>
  <sheetFormatPr defaultRowHeight="15"/>
  <cols>
    <col min="2" max="2" width="24.5703125" customWidth="1"/>
    <col min="3" max="3" width="20.42578125" customWidth="1"/>
    <col min="4" max="4" width="15.5703125" bestFit="1" customWidth="1"/>
    <col min="6" max="6" width="4.85546875" customWidth="1"/>
    <col min="7" max="7" width="15.140625" bestFit="1" customWidth="1"/>
    <col min="8" max="8" width="23.140625" bestFit="1" customWidth="1"/>
    <col min="9" max="9" width="11.5703125" customWidth="1"/>
    <col min="10" max="10" width="0" hidden="1" customWidth="1"/>
  </cols>
  <sheetData>
    <row r="2" spans="2:4" ht="18.75">
      <c r="B2" s="28" t="s">
        <v>0</v>
      </c>
      <c r="C2" s="29"/>
    </row>
    <row r="3" spans="2:4">
      <c r="B3" s="5" t="s">
        <v>1</v>
      </c>
      <c r="C3" s="6">
        <v>5000</v>
      </c>
    </row>
    <row r="4" spans="2:4">
      <c r="B4" s="2" t="s">
        <v>2</v>
      </c>
      <c r="C4" s="16">
        <v>8.9999999999999993E-3</v>
      </c>
    </row>
    <row r="5" spans="2:4">
      <c r="B5" s="3" t="s">
        <v>3</v>
      </c>
      <c r="C5" s="4">
        <f>C3*30%</f>
        <v>1500</v>
      </c>
    </row>
    <row r="7" spans="2:4" ht="18.75">
      <c r="B7" s="30" t="s">
        <v>4</v>
      </c>
      <c r="C7" s="31"/>
    </row>
    <row r="8" spans="2:4">
      <c r="B8" s="17" t="s">
        <v>5</v>
      </c>
      <c r="C8" s="18">
        <v>780</v>
      </c>
    </row>
    <row r="9" spans="2:4">
      <c r="B9" s="19" t="s">
        <v>6</v>
      </c>
      <c r="C9" s="20">
        <v>3</v>
      </c>
    </row>
    <row r="10" spans="2:4">
      <c r="B10" s="19" t="s">
        <v>7</v>
      </c>
      <c r="C10" s="21">
        <v>1.0789999999999999E-2</v>
      </c>
    </row>
    <row r="11" spans="2:4">
      <c r="B11" s="22" t="s">
        <v>8</v>
      </c>
      <c r="C11" s="23">
        <f>FV(C10,C9*12,C8*-1)</f>
        <v>34092.531737957244</v>
      </c>
    </row>
    <row r="12" spans="2:4">
      <c r="B12" s="24" t="s">
        <v>9</v>
      </c>
      <c r="C12" s="25">
        <f>C11*$C$4</f>
        <v>306.8327856416152</v>
      </c>
    </row>
    <row r="14" spans="2:4" ht="18.75">
      <c r="B14" s="26" t="s">
        <v>10</v>
      </c>
      <c r="C14" s="27"/>
      <c r="D14" s="1" t="s">
        <v>11</v>
      </c>
    </row>
    <row r="15" spans="2:4">
      <c r="B15" s="8">
        <v>2</v>
      </c>
      <c r="C15" s="9">
        <f>FV($C$10,B15*12,$C$8*-1)</f>
        <v>21237.549292163269</v>
      </c>
      <c r="D15" s="10">
        <f>C15*$C$4</f>
        <v>191.13794362946939</v>
      </c>
    </row>
    <row r="16" spans="2:4">
      <c r="B16" s="11">
        <v>5</v>
      </c>
      <c r="C16" s="7">
        <f>FV($C$10,B16*12,$C$8*-1)</f>
        <v>65345.992918820361</v>
      </c>
      <c r="D16" s="14">
        <f>C16*$C$4</f>
        <v>588.1139362693832</v>
      </c>
    </row>
    <row r="17" spans="2:4">
      <c r="B17" s="11">
        <v>10</v>
      </c>
      <c r="C17" s="7">
        <f>FV($C$10,B17*12,$C$8*-1)</f>
        <v>189761.68577353432</v>
      </c>
      <c r="D17" s="14">
        <f>C17*$C$4</f>
        <v>1707.8551719618088</v>
      </c>
    </row>
    <row r="18" spans="2:4">
      <c r="B18" s="12">
        <v>20</v>
      </c>
      <c r="C18" s="13">
        <f>FV($C$10,B18*12,$C$8*-1)</f>
        <v>877654.75207572291</v>
      </c>
      <c r="D18" s="15">
        <f>C18*$C$4</f>
        <v>7898.8927686815059</v>
      </c>
    </row>
  </sheetData>
  <mergeCells count="3">
    <mergeCell ref="B14:C14"/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2026-01-21T18:34:39Z</dcterms:created>
  <dcterms:modified xsi:type="dcterms:W3CDTF">2026-01-21T19:55:41Z</dcterms:modified>
  <cp:category/>
  <cp:contentStatus/>
</cp:coreProperties>
</file>